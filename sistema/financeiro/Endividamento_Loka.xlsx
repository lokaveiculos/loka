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  <sheet name="Planilha2" sheetId="2" state="visible" r:id="rId4"/>
  </sheets>
  <definedNames>
    <definedName function="false" hidden="true" localSheetId="0" name="_xlnm._FilterDatabase" vbProcedure="false">Planilha1!$A$3:$Q$3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<sst xmlns="http://schemas.openxmlformats.org/spreadsheetml/2006/main" count="103" uniqueCount="59">
  <si>
    <t xml:space="preserve">LOKÁ</t>
  </si>
  <si>
    <t xml:space="preserve">Data Base 31/01/2026</t>
  </si>
  <si>
    <t xml:space="preserve">BANCO</t>
  </si>
  <si>
    <t xml:space="preserve">CONTRATO</t>
  </si>
  <si>
    <t xml:space="preserve">VALOR PRINCIPAL</t>
  </si>
  <si>
    <t xml:space="preserve">DATA DA LIBERAÇÃO</t>
  </si>
  <si>
    <t xml:space="preserve">PRIMEIRA PARCELA</t>
  </si>
  <si>
    <t xml:space="preserve">PARCELA FINAL</t>
  </si>
  <si>
    <t xml:space="preserve">PAGO</t>
  </si>
  <si>
    <t xml:space="preserve">Nº TOTAL DE PARCELAS</t>
  </si>
  <si>
    <t xml:space="preserve">CET</t>
  </si>
  <si>
    <t xml:space="preserve">SISTEMA DE AMORTIZAÇÃO</t>
  </si>
  <si>
    <t xml:space="preserve">VALOR DA PARCELA</t>
  </si>
  <si>
    <t xml:space="preserve">VALOR DOS ENCARGOS</t>
  </si>
  <si>
    <t xml:space="preserve">PARCELA BASE</t>
  </si>
  <si>
    <t xml:space="preserve">VALOR JÁ AMORTIZADO</t>
  </si>
  <si>
    <t xml:space="preserve">SALDO DEVEDOR ATUAL</t>
  </si>
  <si>
    <t xml:space="preserve">Garantia</t>
  </si>
  <si>
    <t xml:space="preserve">Receita</t>
  </si>
  <si>
    <t xml:space="preserve">Bradesco Fin</t>
  </si>
  <si>
    <t xml:space="preserve">Price</t>
  </si>
  <si>
    <t xml:space="preserve">2 Saveiros/strada</t>
  </si>
  <si>
    <t xml:space="preserve">Gol 2023</t>
  </si>
  <si>
    <t xml:space="preserve">Diversos 9 carro</t>
  </si>
  <si>
    <t xml:space="preserve">BV</t>
  </si>
  <si>
    <t xml:space="preserve">3 Mobis</t>
  </si>
  <si>
    <t xml:space="preserve">T-Cross</t>
  </si>
  <si>
    <t xml:space="preserve">7 Diversos </t>
  </si>
  <si>
    <t xml:space="preserve">4 DIVERSOS</t>
  </si>
  <si>
    <t xml:space="preserve">S10 2022</t>
  </si>
  <si>
    <t xml:space="preserve">10 Diversos </t>
  </si>
  <si>
    <t xml:space="preserve">J Carlos </t>
  </si>
  <si>
    <t xml:space="preserve">2 Mobis</t>
  </si>
  <si>
    <t xml:space="preserve">10 diversos</t>
  </si>
  <si>
    <t xml:space="preserve">2 Ranger XLT</t>
  </si>
  <si>
    <t xml:space="preserve">10 saveiros</t>
  </si>
  <si>
    <t xml:space="preserve">saveiro/fiorino</t>
  </si>
  <si>
    <t xml:space="preserve">Itau</t>
  </si>
  <si>
    <t xml:space="preserve">9 Saveiros</t>
  </si>
  <si>
    <t xml:space="preserve">20 saveiros</t>
  </si>
  <si>
    <t xml:space="preserve">Itau Melina</t>
  </si>
  <si>
    <t xml:space="preserve">Amarok</t>
  </si>
  <si>
    <t xml:space="preserve">Cartao Itaú Rogel</t>
  </si>
  <si>
    <t xml:space="preserve">2 saveiros</t>
  </si>
  <si>
    <t xml:space="preserve">1 saveiro</t>
  </si>
  <si>
    <t xml:space="preserve">Bradesco</t>
  </si>
  <si>
    <t xml:space="preserve">Jarbas/Angelo</t>
  </si>
  <si>
    <t xml:space="preserve">Ranger G7</t>
  </si>
  <si>
    <t xml:space="preserve">s10</t>
  </si>
  <si>
    <t xml:space="preserve">Renegade+emprestimos</t>
  </si>
  <si>
    <t xml:space="preserve">Argo SYQ2A52</t>
  </si>
  <si>
    <t xml:space="preserve">Onix SJA7D59</t>
  </si>
  <si>
    <t xml:space="preserve">HB20 SHP2B83</t>
  </si>
  <si>
    <t xml:space="preserve">Gol RBV3F29</t>
  </si>
  <si>
    <t xml:space="preserve">Mobi RVO7F21</t>
  </si>
  <si>
    <t xml:space="preserve">AmaroK</t>
  </si>
  <si>
    <t xml:space="preserve">Strada 20/20</t>
  </si>
  <si>
    <t xml:space="preserve">Renegade</t>
  </si>
  <si>
    <t xml:space="preserve">jurandi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</si>
</sst>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 ?/?"/>
    <numFmt numFmtId="166" formatCode="_-* #,##0.00_-;\-* #,##0.00_-;_-* \-??_-;_-@_-"/>
    <numFmt numFmtId="167" formatCode="_-[$R$-416]\ * #,##0.00_-;\-[$R$-416]\ * #,##0.00_-;_-[$R$-416]\ * \-??_-;_-@_-"/>
    <numFmt numFmtId="168" formatCode="m/d/yyyy"/>
    <numFmt numFmtId="169" formatCode="0.00%"/>
    <numFmt numFmtId="170" formatCode="&quot;R$ &quot;#,##0.00"/>
    <numFmt numFmtId="171" formatCode="#,##0"/>
    <numFmt numFmtId="172" formatCode="General"/>
    <numFmt numFmtId="173" formatCode="d\-mmm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 val="true"/>
      <sz val="8"/>
      <color theme="0"/>
      <name val="Calibri"/>
      <family val="2"/>
      <charset val="1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-0.5"/>
        <bgColor rgb="FF003366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8" activeCellId="0" sqref="G38"/>
    </sheetView>
  </sheetViews>
  <sheetFormatPr defaultColWidth="11.8593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.71"/>
    <col collapsed="false" customWidth="true" hidden="false" outlineLevel="0" max="6" min="4" style="0" width="12"/>
    <col collapsed="false" customWidth="true" hidden="false" outlineLevel="0" max="10" min="8" style="0" width="12"/>
    <col collapsed="false" customWidth="true" hidden="false" outlineLevel="0" max="11" min="11" style="0" width="13.42"/>
    <col collapsed="false" customWidth="true" hidden="false" outlineLevel="0" max="12" min="12" style="0" width="13.71"/>
    <col collapsed="false" customWidth="true" hidden="false" outlineLevel="0" max="14" min="13" style="0" width="12.86"/>
    <col collapsed="false" customWidth="true" hidden="false" outlineLevel="0" max="15" min="15" style="0" width="14.86"/>
  </cols>
  <sheetData>
    <row r="1" customFormat="false" ht="11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customFormat="false" ht="11.2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</row>
    <row r="3" customFormat="false" ht="30.5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4" t="s">
        <v>18</v>
      </c>
    </row>
    <row r="4" customFormat="false" ht="11.25" hidden="false" customHeight="false" outlineLevel="0" collapsed="false">
      <c r="A4" s="5" t="s">
        <v>19</v>
      </c>
      <c r="B4" s="5" t="n">
        <v>2916787056</v>
      </c>
      <c r="C4" s="6" t="n">
        <v>158044.63</v>
      </c>
      <c r="D4" s="7" t="n">
        <v>45609</v>
      </c>
      <c r="E4" s="7" t="n">
        <v>45651</v>
      </c>
      <c r="F4" s="7" t="n">
        <v>47082</v>
      </c>
      <c r="G4" s="8" t="n">
        <v>18</v>
      </c>
      <c r="H4" s="8" t="n">
        <v>48</v>
      </c>
      <c r="I4" s="9" t="n">
        <v>0.0148</v>
      </c>
      <c r="J4" s="10" t="s">
        <v>20</v>
      </c>
      <c r="K4" s="11" t="n">
        <v>4643.31</v>
      </c>
      <c r="L4" s="11" t="n">
        <f aca="false">O4*I4</f>
        <v>1641.537856</v>
      </c>
      <c r="M4" s="11" t="n">
        <f aca="false">K4-L4</f>
        <v>3001.772144</v>
      </c>
      <c r="N4" s="11" t="n">
        <f aca="false">2304.25+2338.35+2372.96+2408.08+2443.72+2479.89+2516.59+2553.83+2591.63+2629.99+2668.91+2708.41+2748.5+2789.17+2830.45+2872.34+2914.85+2957.99</f>
        <v>47129.91</v>
      </c>
      <c r="O4" s="11" t="n">
        <f aca="false">C4-N4</f>
        <v>110914.72</v>
      </c>
      <c r="P4" s="12" t="s">
        <v>21</v>
      </c>
      <c r="Q4" s="13" t="n">
        <v>8400</v>
      </c>
    </row>
    <row r="5" customFormat="false" ht="11.25" hidden="false" customHeight="false" outlineLevel="0" collapsed="false">
      <c r="A5" s="5" t="s">
        <v>19</v>
      </c>
      <c r="B5" s="5" t="n">
        <v>2917050154</v>
      </c>
      <c r="C5" s="6" t="n">
        <v>69386.85</v>
      </c>
      <c r="D5" s="7" t="n">
        <v>45645</v>
      </c>
      <c r="E5" s="7" t="n">
        <v>45676</v>
      </c>
      <c r="F5" s="7" t="n">
        <v>47106</v>
      </c>
      <c r="G5" s="8" t="n">
        <v>17</v>
      </c>
      <c r="H5" s="8" t="n">
        <v>48</v>
      </c>
      <c r="I5" s="9" t="n">
        <v>0.0174</v>
      </c>
      <c r="J5" s="10" t="s">
        <v>20</v>
      </c>
      <c r="K5" s="11" t="n">
        <v>2153.42</v>
      </c>
      <c r="L5" s="11" t="n">
        <f aca="false">O5*I5</f>
        <v>884.916846</v>
      </c>
      <c r="M5" s="11" t="n">
        <f aca="false">K5-L5</f>
        <v>1268.503154</v>
      </c>
      <c r="N5" s="11" t="n">
        <f aca="false">946.09+962.55+979.3+996.34+1013.68+1031.31+1049.26+1067.52+1086.09+1104.99+1124.21+1143.78+1163.68+1183.93+1204.53+1225.49+1246.81</f>
        <v>18529.56</v>
      </c>
      <c r="O5" s="11" t="n">
        <f aca="false">C5-N5</f>
        <v>50857.29</v>
      </c>
      <c r="P5" s="12" t="s">
        <v>22</v>
      </c>
      <c r="Q5" s="13" t="n">
        <v>2500</v>
      </c>
    </row>
    <row r="6" customFormat="false" ht="11.25" hidden="false" customHeight="false" outlineLevel="0" collapsed="false">
      <c r="A6" s="5" t="s">
        <v>19</v>
      </c>
      <c r="B6" s="10" t="n">
        <v>2917207630</v>
      </c>
      <c r="C6" s="6" t="n">
        <v>478301.72</v>
      </c>
      <c r="D6" s="7" t="n">
        <v>45666</v>
      </c>
      <c r="E6" s="7" t="n">
        <v>45705</v>
      </c>
      <c r="F6" s="7" t="n">
        <v>47135</v>
      </c>
      <c r="G6" s="8" t="n">
        <v>16</v>
      </c>
      <c r="H6" s="8" t="n">
        <v>48</v>
      </c>
      <c r="I6" s="14" t="n">
        <v>0.0148</v>
      </c>
      <c r="J6" s="10" t="s">
        <v>20</v>
      </c>
      <c r="K6" s="11" t="n">
        <v>14052.41</v>
      </c>
      <c r="L6" s="11" t="n">
        <f aca="false">O6*I6</f>
        <v>5230.941452</v>
      </c>
      <c r="M6" s="11" t="n">
        <f aca="false">K6-L6</f>
        <v>8821.468548</v>
      </c>
      <c r="N6" s="11" t="n">
        <f aca="false">6973.54+7076.75+7181.49+7287.77+7395.63+7505.09+7616.16+7728.88+7843.27+7959.35+8077.15+8196.69+8318+8441.11+8566.04+8692.81</f>
        <v>124859.73</v>
      </c>
      <c r="O6" s="11" t="n">
        <f aca="false">C6-N6</f>
        <v>353441.99</v>
      </c>
      <c r="P6" s="12" t="s">
        <v>23</v>
      </c>
      <c r="Q6" s="13" t="n">
        <f aca="false">4600+2800+6900</f>
        <v>14300</v>
      </c>
    </row>
    <row r="7" customFormat="false" ht="11.25" hidden="false" customHeight="false" outlineLevel="0" collapsed="false">
      <c r="A7" s="10" t="s">
        <v>24</v>
      </c>
      <c r="B7" s="10" t="n">
        <v>920312070</v>
      </c>
      <c r="C7" s="6" t="n">
        <v>141000</v>
      </c>
      <c r="D7" s="7" t="n">
        <v>45568</v>
      </c>
      <c r="E7" s="7" t="n">
        <v>45599</v>
      </c>
      <c r="F7" s="7" t="n">
        <v>47029</v>
      </c>
      <c r="G7" s="8" t="n">
        <v>19</v>
      </c>
      <c r="H7" s="8" t="n">
        <v>48</v>
      </c>
      <c r="I7" s="14" t="n">
        <v>0.017</v>
      </c>
      <c r="J7" s="10" t="s">
        <v>20</v>
      </c>
      <c r="K7" s="11" t="n">
        <v>4297.77</v>
      </c>
      <c r="L7" s="11" t="n">
        <f aca="false">O7*I7</f>
        <v>1587.89962</v>
      </c>
      <c r="M7" s="11" t="n">
        <f aca="false">K7-L7</f>
        <v>2709.87038</v>
      </c>
      <c r="N7" s="11" t="n">
        <f aca="false">1973.83+1934.33+1967.21+2000.65+2034.66+2069.25+2104.43+2140.2+2176.59+2213.59+2251.22+2289.49+2328.41+2368+2408.25+2449.19+2490.83+2533.17+2576.24+2620.03+2664.57</f>
        <v>47594.14</v>
      </c>
      <c r="O7" s="11" t="n">
        <f aca="false">C7-N7</f>
        <v>93405.86</v>
      </c>
      <c r="P7" s="12" t="s">
        <v>25</v>
      </c>
      <c r="Q7" s="13" t="n">
        <v>6900</v>
      </c>
    </row>
    <row r="8" customFormat="false" ht="11.25" hidden="false" customHeight="false" outlineLevel="0" collapsed="false">
      <c r="A8" s="15" t="s">
        <v>19</v>
      </c>
      <c r="B8" s="5" t="n">
        <v>2916578848</v>
      </c>
      <c r="C8" s="11" t="n">
        <v>100000</v>
      </c>
      <c r="D8" s="7" t="n">
        <v>45583</v>
      </c>
      <c r="E8" s="7" t="n">
        <v>45612</v>
      </c>
      <c r="F8" s="7" t="n">
        <v>47042</v>
      </c>
      <c r="G8" s="8" t="n">
        <v>19</v>
      </c>
      <c r="H8" s="8" t="n">
        <v>48</v>
      </c>
      <c r="I8" s="14" t="n">
        <v>0.017</v>
      </c>
      <c r="J8" s="11" t="s">
        <v>20</v>
      </c>
      <c r="K8" s="11" t="n">
        <v>3061.24</v>
      </c>
      <c r="L8" s="11" t="n">
        <f aca="false">O8*I8</f>
        <v>1186.10343</v>
      </c>
      <c r="M8" s="11" t="n">
        <f aca="false">K8-L8</f>
        <v>1875.13657</v>
      </c>
      <c r="N8" s="11" t="n">
        <f aca="false">1361.24+1384.38+1407.92+1431.85+1456.19+1480.95+1506.12+1531.73+1557.77+1584.25+1611.18+1638.57+1666.43+1694.76+1723.57+1752.87+1782.67+1812.97+1843.79</f>
        <v>30229.21</v>
      </c>
      <c r="O8" s="11" t="n">
        <f aca="false">C8-N8</f>
        <v>69770.79</v>
      </c>
      <c r="P8" s="16" t="s">
        <v>26</v>
      </c>
      <c r="Q8" s="13" t="n">
        <v>3000</v>
      </c>
    </row>
    <row r="9" customFormat="false" ht="11.25" hidden="false" customHeight="false" outlineLevel="0" collapsed="false">
      <c r="A9" s="5" t="s">
        <v>19</v>
      </c>
      <c r="B9" s="10" t="n">
        <v>2917539471</v>
      </c>
      <c r="C9" s="6" t="n">
        <v>465000</v>
      </c>
      <c r="D9" s="7" t="n">
        <v>45699</v>
      </c>
      <c r="E9" s="7" t="n">
        <v>45727</v>
      </c>
      <c r="F9" s="7" t="n">
        <v>47160</v>
      </c>
      <c r="G9" s="8" t="n">
        <v>15</v>
      </c>
      <c r="H9" s="8" t="n">
        <v>48</v>
      </c>
      <c r="I9" s="14" t="n">
        <v>0.0159</v>
      </c>
      <c r="J9" s="10" t="s">
        <v>20</v>
      </c>
      <c r="K9" s="11" t="n">
        <v>13903.38</v>
      </c>
      <c r="L9" s="11" t="n">
        <f aca="false">O9*I9</f>
        <v>5655.594066</v>
      </c>
      <c r="M9" s="11" t="n">
        <f aca="false">K9-L9</f>
        <v>8247.785934</v>
      </c>
      <c r="N9" s="11" t="n">
        <f aca="false">6509.88+6613.39+6718.54+6825.36+6933.89+7044.14+7156.14+7269.92+7385.51+7502.94+7622.24+7743.43+7866.55+7991.63+8118.7</f>
        <v>109302.26</v>
      </c>
      <c r="O9" s="11" t="n">
        <f aca="false">C9-N9</f>
        <v>355697.74</v>
      </c>
      <c r="P9" s="12" t="s">
        <v>27</v>
      </c>
      <c r="Q9" s="13" t="n">
        <v>12000</v>
      </c>
    </row>
    <row r="10" customFormat="false" ht="11.25" hidden="false" customHeight="false" outlineLevel="0" collapsed="false">
      <c r="A10" s="10" t="s">
        <v>19</v>
      </c>
      <c r="B10" s="10" t="n">
        <v>2918060463</v>
      </c>
      <c r="C10" s="6" t="n">
        <v>240000</v>
      </c>
      <c r="D10" s="7" t="n">
        <v>45745</v>
      </c>
      <c r="E10" s="7" t="n">
        <v>45776</v>
      </c>
      <c r="F10" s="7" t="n">
        <v>47206</v>
      </c>
      <c r="G10" s="8" t="n">
        <v>14</v>
      </c>
      <c r="H10" s="8" t="n">
        <v>48</v>
      </c>
      <c r="I10" s="14" t="n">
        <v>0.0144</v>
      </c>
      <c r="J10" s="10" t="s">
        <v>20</v>
      </c>
      <c r="K10" s="11" t="n">
        <v>7225.83</v>
      </c>
      <c r="L10" s="11" t="n">
        <f aca="false">O10*I10</f>
        <v>2620.602</v>
      </c>
      <c r="M10" s="11" t="n">
        <f aca="false">K10-L10</f>
        <v>4605.228</v>
      </c>
      <c r="N10" s="11" t="n">
        <f aca="false">3769.83+3824.12+3879.18+3935.04+3991.71+4049.19+4107.5+4166.64+4226.64+4287.51+4349.25+4411.88+4475.41+4539.85</f>
        <v>58013.75</v>
      </c>
      <c r="O10" s="11" t="n">
        <f aca="false">C10-N10</f>
        <v>181986.25</v>
      </c>
      <c r="P10" s="12" t="s">
        <v>28</v>
      </c>
      <c r="Q10" s="13" t="n">
        <v>10300</v>
      </c>
    </row>
    <row r="11" customFormat="false" ht="11.25" hidden="false" customHeight="false" outlineLevel="0" collapsed="false">
      <c r="A11" s="10" t="s">
        <v>19</v>
      </c>
      <c r="B11" s="10" t="n">
        <v>2918527078</v>
      </c>
      <c r="C11" s="6" t="n">
        <v>158000</v>
      </c>
      <c r="D11" s="7" t="n">
        <v>45784</v>
      </c>
      <c r="E11" s="7" t="n">
        <v>45815</v>
      </c>
      <c r="F11" s="7" t="n">
        <v>47245</v>
      </c>
      <c r="G11" s="8" t="n">
        <v>12</v>
      </c>
      <c r="H11" s="8" t="n">
        <v>48</v>
      </c>
      <c r="I11" s="14" t="n">
        <v>0.0144</v>
      </c>
      <c r="J11" s="10" t="s">
        <v>20</v>
      </c>
      <c r="K11" s="11" t="n">
        <v>4897.01</v>
      </c>
      <c r="L11" s="11" t="n">
        <f aca="false">O11*I11</f>
        <v>1784.490336</v>
      </c>
      <c r="M11" s="11" t="n">
        <f aca="false">K11-L11</f>
        <v>3112.519664</v>
      </c>
      <c r="N11" s="11" t="n">
        <f aca="false">2621.81+2659.56+2697.86+2736.71+2776.12+2816.1+2856.65+2897.78+2939.51+2981.84+3024.78+3068.34</f>
        <v>34077.06</v>
      </c>
      <c r="O11" s="11" t="n">
        <f aca="false">C11-N11</f>
        <v>123922.94</v>
      </c>
      <c r="P11" s="12" t="s">
        <v>29</v>
      </c>
      <c r="Q11" s="13" t="n">
        <v>8000</v>
      </c>
    </row>
    <row r="12" customFormat="false" ht="11.25" hidden="false" customHeight="false" outlineLevel="0" collapsed="false">
      <c r="A12" s="15" t="s">
        <v>19</v>
      </c>
      <c r="B12" s="10" t="n">
        <v>2918912281</v>
      </c>
      <c r="C12" s="6" t="n">
        <v>618000</v>
      </c>
      <c r="D12" s="7" t="n">
        <v>45825</v>
      </c>
      <c r="E12" s="7" t="n">
        <v>45870</v>
      </c>
      <c r="F12" s="7" t="n">
        <v>47300</v>
      </c>
      <c r="G12" s="8" t="n">
        <v>10</v>
      </c>
      <c r="H12" s="8" t="n">
        <v>48</v>
      </c>
      <c r="I12" s="14" t="n">
        <v>0.0145</v>
      </c>
      <c r="J12" s="10" t="s">
        <v>20</v>
      </c>
      <c r="K12" s="11" t="n">
        <v>18831.9</v>
      </c>
      <c r="L12" s="11" t="n">
        <f aca="false">O12*I12</f>
        <v>7436.89224</v>
      </c>
      <c r="M12" s="11" t="n">
        <f aca="false">K12-L12</f>
        <v>11395.00776</v>
      </c>
      <c r="N12" s="11" t="n">
        <f aca="false">9870.9+10014.03+10159.23+10036.54+10452.07+10603.63+10757.38+10913.36+11071.6+11232.14</f>
        <v>105110.88</v>
      </c>
      <c r="O12" s="11" t="n">
        <f aca="false">C12-N12</f>
        <v>512889.12</v>
      </c>
      <c r="P12" s="12" t="s">
        <v>30</v>
      </c>
      <c r="Q12" s="13" t="n">
        <v>50000</v>
      </c>
    </row>
    <row r="13" customFormat="false" ht="11.25" hidden="false" customHeight="false" outlineLevel="0" collapsed="false">
      <c r="A13" s="15" t="s">
        <v>19</v>
      </c>
      <c r="B13" s="10" t="s">
        <v>31</v>
      </c>
      <c r="C13" s="6" t="n">
        <f aca="false">64990*2</f>
        <v>129980</v>
      </c>
      <c r="D13" s="7" t="n">
        <v>44895</v>
      </c>
      <c r="E13" s="7" t="n">
        <v>44925</v>
      </c>
      <c r="F13" s="7" t="n">
        <v>46356</v>
      </c>
      <c r="G13" s="8" t="n">
        <v>42</v>
      </c>
      <c r="H13" s="8" t="n">
        <v>48</v>
      </c>
      <c r="I13" s="14" t="n">
        <v>0.0145</v>
      </c>
      <c r="J13" s="10" t="s">
        <v>20</v>
      </c>
      <c r="K13" s="11" t="n">
        <v>3985.82</v>
      </c>
      <c r="L13" s="11" t="n">
        <f aca="false">O13*I13</f>
        <v>290</v>
      </c>
      <c r="M13" s="11" t="n">
        <f aca="false">K13-L13</f>
        <v>3695.82</v>
      </c>
      <c r="N13" s="11"/>
      <c r="O13" s="11" t="n">
        <v>20000</v>
      </c>
      <c r="P13" s="12" t="s">
        <v>32</v>
      </c>
      <c r="Q13" s="13" t="n">
        <v>4600</v>
      </c>
    </row>
    <row r="14" customFormat="false" ht="11.25" hidden="false" customHeight="false" outlineLevel="0" collapsed="false">
      <c r="A14" s="15" t="s">
        <v>19</v>
      </c>
      <c r="B14" s="10" t="n">
        <v>2919297963</v>
      </c>
      <c r="C14" s="6" t="n">
        <v>704000</v>
      </c>
      <c r="D14" s="7" t="n">
        <v>45842</v>
      </c>
      <c r="E14" s="7" t="n">
        <v>45886</v>
      </c>
      <c r="F14" s="7" t="n">
        <v>47316</v>
      </c>
      <c r="G14" s="8" t="n">
        <v>10</v>
      </c>
      <c r="H14" s="8" t="n">
        <v>48</v>
      </c>
      <c r="I14" s="14" t="n">
        <v>0.0145</v>
      </c>
      <c r="J14" s="10" t="s">
        <v>20</v>
      </c>
      <c r="K14" s="11" t="n">
        <v>21155.9</v>
      </c>
      <c r="L14" s="11" t="n">
        <f aca="false">O14*I14</f>
        <v>8512.8655085</v>
      </c>
      <c r="M14" s="11" t="n">
        <f aca="false">K14-L14</f>
        <v>12643.0344915</v>
      </c>
      <c r="N14" s="11" t="n">
        <f aca="false">10947.9+11106.64+11267.69+11431.07+11596.82+11764.98+11935.557+12108.63+12284.21+12462.33</f>
        <v>116905.827</v>
      </c>
      <c r="O14" s="11" t="n">
        <f aca="false">C14-N14</f>
        <v>587094.173</v>
      </c>
      <c r="P14" s="12" t="s">
        <v>33</v>
      </c>
      <c r="Q14" s="13" t="n">
        <v>25000</v>
      </c>
    </row>
    <row r="15" customFormat="false" ht="11.25" hidden="false" customHeight="false" outlineLevel="0" collapsed="false">
      <c r="A15" s="15" t="s">
        <v>19</v>
      </c>
      <c r="B15" s="10" t="n">
        <v>4217013747</v>
      </c>
      <c r="C15" s="6" t="n">
        <v>460000</v>
      </c>
      <c r="D15" s="7" t="n">
        <v>45866</v>
      </c>
      <c r="E15" s="7" t="n">
        <v>45897</v>
      </c>
      <c r="F15" s="7" t="n">
        <v>46596</v>
      </c>
      <c r="G15" s="8" t="n">
        <v>10</v>
      </c>
      <c r="H15" s="8" t="n">
        <v>24</v>
      </c>
      <c r="I15" s="14" t="n">
        <v>0.0145</v>
      </c>
      <c r="J15" s="10" t="s">
        <v>20</v>
      </c>
      <c r="K15" s="11" t="n">
        <v>23903.45</v>
      </c>
      <c r="L15" s="11" t="n">
        <f aca="false">O15*I15</f>
        <v>4001.63228</v>
      </c>
      <c r="M15" s="11" t="n">
        <f aca="false">K15-L15</f>
        <v>19901.81772</v>
      </c>
      <c r="N15" s="11" t="n">
        <f aca="false">17233.45+17483.34+17736.84+17994.03+18254.94+18519.64+18788.17+19060.6+19336.98+19617.37</f>
        <v>184025.36</v>
      </c>
      <c r="O15" s="11" t="n">
        <f aca="false">C15-N15</f>
        <v>275974.64</v>
      </c>
      <c r="P15" s="12" t="s">
        <v>34</v>
      </c>
      <c r="Q15" s="13" t="n">
        <v>4500</v>
      </c>
    </row>
    <row r="16" customFormat="false" ht="11.25" hidden="false" customHeight="false" outlineLevel="0" collapsed="false">
      <c r="A16" s="15" t="s">
        <v>19</v>
      </c>
      <c r="B16" s="10" t="n">
        <v>2920001274</v>
      </c>
      <c r="C16" s="6" t="n">
        <v>675000</v>
      </c>
      <c r="D16" s="7" t="n">
        <v>45896</v>
      </c>
      <c r="E16" s="7" t="n">
        <v>45927</v>
      </c>
      <c r="F16" s="7" t="n">
        <v>47357</v>
      </c>
      <c r="G16" s="8" t="n">
        <v>9</v>
      </c>
      <c r="H16" s="8" t="n">
        <v>48</v>
      </c>
      <c r="I16" s="14" t="n">
        <v>0.0145</v>
      </c>
      <c r="J16" s="10" t="s">
        <v>20</v>
      </c>
      <c r="K16" s="11" t="n">
        <v>20406.26</v>
      </c>
      <c r="L16" s="11" t="n">
        <f aca="false">O16*I16</f>
        <v>8318.599105</v>
      </c>
      <c r="M16" s="11" t="n">
        <f aca="false">K16-L16</f>
        <v>12087.660895</v>
      </c>
      <c r="N16" s="11" t="n">
        <f aca="false">10618.76+10772.73+10928.94+11087.41+11248.17+11411.27+11576.74+11744.6+11914.89</f>
        <v>101303.51</v>
      </c>
      <c r="O16" s="11" t="n">
        <f aca="false">C16-N16</f>
        <v>573696.49</v>
      </c>
      <c r="P16" s="12" t="s">
        <v>35</v>
      </c>
      <c r="Q16" s="13" t="n">
        <v>30000</v>
      </c>
    </row>
    <row r="17" customFormat="false" ht="11.25" hidden="false" customHeight="false" outlineLevel="0" collapsed="false">
      <c r="A17" s="15" t="s">
        <v>19</v>
      </c>
      <c r="B17" s="10" t="n">
        <v>2920448163</v>
      </c>
      <c r="C17" s="6" t="n">
        <v>137606.06</v>
      </c>
      <c r="D17" s="7" t="n">
        <v>45924</v>
      </c>
      <c r="E17" s="7" t="n">
        <v>45954</v>
      </c>
      <c r="F17" s="7" t="n">
        <v>47385</v>
      </c>
      <c r="G17" s="8" t="n">
        <v>8</v>
      </c>
      <c r="H17" s="8" t="n">
        <v>48</v>
      </c>
      <c r="I17" s="14" t="n">
        <v>0.0145</v>
      </c>
      <c r="J17" s="10" t="s">
        <v>20</v>
      </c>
      <c r="K17" s="11" t="n">
        <v>4019.49</v>
      </c>
      <c r="L17" s="11" t="n">
        <f aca="false">O17*I17</f>
        <v>1748.22701</v>
      </c>
      <c r="M17" s="11" t="n">
        <f aca="false">K17-L17</f>
        <v>2271.26299</v>
      </c>
      <c r="N17" s="11" t="n">
        <f aca="false">2023.27+2053.54+2083.32+2113.52+2144.17+2175.26+2206.8+2238.8</f>
        <v>17038.68</v>
      </c>
      <c r="O17" s="11" t="n">
        <f aca="false">C17-N17</f>
        <v>120567.38</v>
      </c>
      <c r="P17" s="12" t="s">
        <v>36</v>
      </c>
      <c r="Q17" s="13" t="n">
        <v>5800</v>
      </c>
    </row>
    <row r="18" customFormat="false" ht="11.25" hidden="false" customHeight="false" outlineLevel="0" collapsed="false">
      <c r="A18" s="15" t="s">
        <v>37</v>
      </c>
      <c r="B18" s="10" t="n">
        <v>28798367</v>
      </c>
      <c r="C18" s="6" t="n">
        <v>675535.5</v>
      </c>
      <c r="D18" s="7" t="n">
        <v>45929</v>
      </c>
      <c r="E18" s="7" t="n">
        <v>45959</v>
      </c>
      <c r="F18" s="7" t="n">
        <v>47390</v>
      </c>
      <c r="G18" s="10" t="n">
        <v>8</v>
      </c>
      <c r="H18" s="10" t="n">
        <v>48</v>
      </c>
      <c r="I18" s="14" t="n">
        <v>0.0145</v>
      </c>
      <c r="J18" s="10" t="s">
        <v>20</v>
      </c>
      <c r="K18" s="11" t="n">
        <v>19718.21</v>
      </c>
      <c r="L18" s="11" t="n">
        <f aca="false">O18*I18</f>
        <v>8584.061335</v>
      </c>
      <c r="M18" s="11" t="n">
        <f aca="false">K18-L18</f>
        <v>11134.148665</v>
      </c>
      <c r="N18" s="11" t="n">
        <f aca="false">9922.95+10066.83+10212.8+10360.88+10511.12+10663.53+10818.15+10975.01</f>
        <v>83531.27</v>
      </c>
      <c r="O18" s="11" t="n">
        <f aca="false">C18-N18</f>
        <v>592004.23</v>
      </c>
      <c r="P18" s="12" t="s">
        <v>38</v>
      </c>
      <c r="Q18" s="13" t="n">
        <v>27000</v>
      </c>
    </row>
    <row r="19" customFormat="false" ht="11.25" hidden="false" customHeight="false" outlineLevel="0" collapsed="false">
      <c r="A19" s="15" t="s">
        <v>37</v>
      </c>
      <c r="B19" s="10" t="n">
        <v>29418875</v>
      </c>
      <c r="C19" s="6" t="n">
        <v>1262296.13</v>
      </c>
      <c r="D19" s="7" t="n">
        <v>45971</v>
      </c>
      <c r="E19" s="7" t="n">
        <v>46017</v>
      </c>
      <c r="F19" s="7" t="n">
        <v>47448</v>
      </c>
      <c r="G19" s="10" t="n">
        <v>6</v>
      </c>
      <c r="H19" s="10" t="n">
        <v>48</v>
      </c>
      <c r="I19" s="14" t="n">
        <v>0.0145</v>
      </c>
      <c r="J19" s="10" t="s">
        <v>20</v>
      </c>
      <c r="K19" s="11" t="n">
        <v>37100.55</v>
      </c>
      <c r="L19" s="11" t="n">
        <f aca="false">O19*I19</f>
        <v>16607.486985</v>
      </c>
      <c r="M19" s="11" t="n">
        <f aca="false">K19-L19</f>
        <v>20493.063015</v>
      </c>
      <c r="N19" s="11" t="n">
        <f aca="false">18797.26+19069.82+19346.66+19626.86+19911.44+20200.16</f>
        <v>116952.2</v>
      </c>
      <c r="O19" s="11" t="n">
        <f aca="false">C19-N19</f>
        <v>1145343.93</v>
      </c>
      <c r="P19" s="12" t="s">
        <v>39</v>
      </c>
      <c r="Q19" s="13" t="n">
        <v>60000</v>
      </c>
    </row>
    <row r="20" customFormat="false" ht="11.25" hidden="false" customHeight="false" outlineLevel="0" collapsed="false">
      <c r="A20" s="15" t="s">
        <v>40</v>
      </c>
      <c r="B20" s="10" t="n">
        <v>29651382</v>
      </c>
      <c r="C20" s="6" t="n">
        <v>119528.12</v>
      </c>
      <c r="D20" s="7" t="n">
        <v>45992</v>
      </c>
      <c r="E20" s="7" t="n">
        <v>46022</v>
      </c>
      <c r="F20" s="7" t="n">
        <v>47453</v>
      </c>
      <c r="G20" s="10" t="n">
        <v>6</v>
      </c>
      <c r="H20" s="10" t="n">
        <v>48</v>
      </c>
      <c r="I20" s="14" t="n">
        <v>0.0146</v>
      </c>
      <c r="J20" s="10" t="s">
        <v>20</v>
      </c>
      <c r="K20" s="17" t="n">
        <v>3466.23</v>
      </c>
      <c r="L20" s="11" t="n">
        <f aca="false">O20*I20</f>
        <v>1588.729076</v>
      </c>
      <c r="M20" s="11" t="n">
        <f aca="false">K20-L20</f>
        <v>1877.500924</v>
      </c>
      <c r="N20" s="11" t="n">
        <f aca="false">1721.12+1746.25+1771.74+1797.61+1823.86+1850.48</f>
        <v>10711.06</v>
      </c>
      <c r="O20" s="11" t="n">
        <f aca="false">C20-N20</f>
        <v>108817.06</v>
      </c>
      <c r="P20" s="17" t="s">
        <v>41</v>
      </c>
      <c r="Q20" s="13"/>
    </row>
    <row r="21" customFormat="false" ht="11.25" hidden="false" customHeight="false" outlineLevel="0" collapsed="false">
      <c r="A21" s="17" t="s">
        <v>42</v>
      </c>
      <c r="B21" s="18"/>
      <c r="C21" s="6" t="n">
        <f aca="false">58065+60360</f>
        <v>118425</v>
      </c>
      <c r="D21" s="19" t="n">
        <v>46049</v>
      </c>
      <c r="E21" s="19" t="n">
        <v>46059</v>
      </c>
      <c r="F21" s="19" t="n">
        <v>46393</v>
      </c>
      <c r="G21" s="10" t="n">
        <v>4</v>
      </c>
      <c r="H21" s="15" t="n">
        <v>12</v>
      </c>
      <c r="I21" s="15" t="n">
        <v>0</v>
      </c>
      <c r="J21" s="15" t="s">
        <v>20</v>
      </c>
      <c r="K21" s="20" t="n">
        <f aca="false">C21/H21</f>
        <v>9868.75</v>
      </c>
      <c r="L21" s="17" t="n">
        <v>0</v>
      </c>
      <c r="M21" s="11" t="n">
        <f aca="false">K21-L21</f>
        <v>9868.75</v>
      </c>
      <c r="N21" s="20" t="n">
        <f aca="false">M21*G21</f>
        <v>39475</v>
      </c>
      <c r="O21" s="20" t="n">
        <f aca="false">C21-N21</f>
        <v>78950</v>
      </c>
      <c r="P21" s="17" t="s">
        <v>43</v>
      </c>
      <c r="Q21" s="13"/>
    </row>
    <row r="22" customFormat="false" ht="11.25" hidden="false" customHeight="false" outlineLevel="0" collapsed="false">
      <c r="A22" s="17" t="s">
        <v>42</v>
      </c>
      <c r="B22" s="17"/>
      <c r="C22" s="6" t="n">
        <v>62892</v>
      </c>
      <c r="D22" s="19" t="n">
        <v>46080</v>
      </c>
      <c r="E22" s="19" t="n">
        <v>46118</v>
      </c>
      <c r="F22" s="19" t="n">
        <v>46472</v>
      </c>
      <c r="G22" s="15" t="n">
        <v>2</v>
      </c>
      <c r="H22" s="15" t="n">
        <v>12</v>
      </c>
      <c r="I22" s="15" t="n">
        <v>0</v>
      </c>
      <c r="J22" s="15" t="s">
        <v>20</v>
      </c>
      <c r="K22" s="20" t="n">
        <f aca="false">C22/H22</f>
        <v>5241</v>
      </c>
      <c r="L22" s="17" t="n">
        <v>0</v>
      </c>
      <c r="M22" s="11" t="n">
        <f aca="false">K22-L22</f>
        <v>5241</v>
      </c>
      <c r="N22" s="20" t="n">
        <f aca="false">M22*G22</f>
        <v>10482</v>
      </c>
      <c r="O22" s="20" t="n">
        <f aca="false">C22-N22</f>
        <v>52410</v>
      </c>
      <c r="P22" s="17" t="s">
        <v>44</v>
      </c>
      <c r="Q22" s="13"/>
    </row>
    <row r="23" customFormat="false" ht="11.25" hidden="false" customHeight="false" outlineLevel="0" collapsed="false">
      <c r="A23" s="21"/>
      <c r="B23" s="21"/>
      <c r="C23" s="22" t="n">
        <f aca="false">SUM(C4:C22)</f>
        <v>6772996.01</v>
      </c>
      <c r="D23" s="21"/>
      <c r="E23" s="21"/>
      <c r="F23" s="21"/>
      <c r="G23" s="21"/>
      <c r="H23" s="21"/>
      <c r="I23" s="21"/>
      <c r="J23" s="21"/>
      <c r="K23" s="22" t="n">
        <f aca="false">SUM(K4:K22)</f>
        <v>221931.93</v>
      </c>
      <c r="L23" s="21"/>
      <c r="M23" s="22" t="n">
        <f aca="false">SUM(M4:M22)</f>
        <v>144251.3508545</v>
      </c>
      <c r="N23" s="22" t="n">
        <f aca="false">SUM(N4:N22)</f>
        <v>1255271.407</v>
      </c>
      <c r="O23" s="22" t="n">
        <f aca="false">SUM(O4:O22)</f>
        <v>5407744.603</v>
      </c>
      <c r="P23" s="21"/>
      <c r="Q23" s="23" t="n">
        <f aca="false">SUM(Q4:Q22)</f>
        <v>272300</v>
      </c>
    </row>
    <row r="24" customFormat="false" ht="15" hidden="false" customHeight="false" outlineLevel="0" collapsed="false">
      <c r="M24" s="24"/>
      <c r="N24" s="24"/>
      <c r="O24" s="24"/>
    </row>
    <row r="25" customFormat="false" ht="15" hidden="false" customHeight="false" outlineLevel="0" collapsed="false">
      <c r="M25" s="24"/>
      <c r="N25" s="24"/>
      <c r="O25" s="24"/>
    </row>
    <row r="26" customFormat="false" ht="15" hidden="false" customHeight="false" outlineLevel="0" collapsed="false">
      <c r="A26" s="2"/>
      <c r="B26" s="2"/>
      <c r="C26" s="2"/>
      <c r="D26" s="2"/>
    </row>
    <row r="27" customFormat="false" ht="15" hidden="false" customHeight="false" outlineLevel="0" collapsed="false">
      <c r="A27" s="2"/>
      <c r="B27" s="2"/>
      <c r="C27" s="2"/>
      <c r="D27" s="2"/>
    </row>
    <row r="28" customFormat="false" ht="15" hidden="false" customHeight="false" outlineLevel="0" collapsed="false">
      <c r="A28" s="2"/>
      <c r="B28" s="2"/>
      <c r="C28" s="2"/>
      <c r="D28" s="2"/>
    </row>
    <row r="29" customFormat="false" ht="15" hidden="false" customHeight="false" outlineLevel="0" collapsed="false">
      <c r="A29" s="2"/>
      <c r="B29" s="2"/>
      <c r="C29" s="2"/>
      <c r="D29" s="2"/>
    </row>
    <row r="30" customFormat="false" ht="15" hidden="false" customHeight="false" outlineLevel="0" collapsed="false">
      <c r="A30" s="2"/>
      <c r="B30" s="2"/>
      <c r="C30" s="2"/>
      <c r="D30" s="2"/>
    </row>
    <row r="31" customFormat="false" ht="15" hidden="false" customHeight="false" outlineLevel="0" collapsed="false">
      <c r="A31" s="2"/>
      <c r="B31" s="2"/>
      <c r="C31" s="2"/>
      <c r="D31" s="2"/>
    </row>
    <row r="32" customFormat="false" ht="15" hidden="false" customHeight="false" outlineLevel="0" collapsed="false">
      <c r="A32" s="2"/>
      <c r="B32" s="2"/>
      <c r="C32" s="2"/>
      <c r="D32" s="2"/>
    </row>
    <row r="33" customFormat="false" ht="15" hidden="false" customHeight="false" outlineLevel="0" collapsed="false">
      <c r="A33" s="2"/>
      <c r="B33" s="2"/>
      <c r="C33" s="2"/>
      <c r="D33" s="2"/>
    </row>
    <row r="34" customFormat="false" ht="15" hidden="false" customHeight="false" outlineLevel="0" collapsed="false">
      <c r="A34" s="2"/>
      <c r="B34" s="2"/>
      <c r="C34" s="2"/>
      <c r="D34" s="2"/>
    </row>
    <row r="35" customFormat="false" ht="15" hidden="false" customHeight="false" outlineLevel="0" collapsed="false">
      <c r="A35" s="2"/>
      <c r="B35" s="2"/>
      <c r="C35" s="2"/>
      <c r="D35" s="2"/>
    </row>
    <row r="36" customFormat="false" ht="15" hidden="false" customHeight="false" outlineLevel="0" collapsed="false">
      <c r="A36" s="2"/>
      <c r="B36" s="2"/>
      <c r="C36" s="2"/>
      <c r="D36" s="2"/>
    </row>
    <row r="37" customFormat="false" ht="15" hidden="false" customHeight="false" outlineLevel="0" collapsed="false">
      <c r="A37" s="2"/>
      <c r="B37" s="2"/>
      <c r="C37" s="2"/>
      <c r="D37" s="2"/>
    </row>
    <row r="38" customFormat="false" ht="15" hidden="false" customHeight="false" outlineLevel="0" collapsed="false">
      <c r="A38" s="2"/>
      <c r="B38" s="2"/>
      <c r="C38" s="2"/>
      <c r="D38" s="2"/>
    </row>
    <row r="39" customFormat="false" ht="15" hidden="false" customHeight="false" outlineLevel="0" collapsed="false">
      <c r="A39" s="2"/>
      <c r="B39" s="2"/>
      <c r="C39" s="2"/>
      <c r="D39" s="2"/>
    </row>
    <row r="40" customFormat="false" ht="15" hidden="false" customHeight="false" outlineLevel="0" collapsed="false">
      <c r="A40" s="2"/>
      <c r="B40" s="2"/>
      <c r="C40" s="2"/>
      <c r="D40" s="2"/>
    </row>
    <row r="41" customFormat="false" ht="15" hidden="false" customHeight="false" outlineLevel="0" collapsed="false">
      <c r="A41" s="2"/>
      <c r="B41" s="2"/>
      <c r="C41" s="2"/>
      <c r="D41" s="2"/>
    </row>
    <row r="42" customFormat="false" ht="15" hidden="false" customHeight="false" outlineLevel="0" collapsed="false">
      <c r="A42" s="2"/>
      <c r="B42" s="2"/>
      <c r="C42" s="2"/>
      <c r="D42" s="2"/>
    </row>
    <row r="43" customFormat="false" ht="15" hidden="false" customHeight="false" outlineLevel="0" collapsed="false">
      <c r="A43" s="2"/>
      <c r="B43" s="2"/>
      <c r="C43" s="2"/>
      <c r="D43" s="2"/>
    </row>
    <row r="44" customFormat="false" ht="15" hidden="false" customHeight="false" outlineLevel="0" collapsed="false">
      <c r="A44" s="2"/>
      <c r="B44" s="2"/>
      <c r="C44" s="2"/>
      <c r="D44" s="2"/>
    </row>
    <row r="45" customFormat="false" ht="15" hidden="false" customHeight="false" outlineLevel="0" collapsed="false">
      <c r="A45" s="2"/>
      <c r="B45" s="2"/>
      <c r="C45" s="2"/>
      <c r="D45" s="2"/>
    </row>
    <row r="46" customFormat="false" ht="15" hidden="false" customHeight="false" outlineLevel="0" collapsed="false">
      <c r="A46" s="2"/>
      <c r="B46" s="2"/>
      <c r="C46" s="2"/>
      <c r="D46" s="2"/>
    </row>
    <row r="47" customFormat="false" ht="15" hidden="false" customHeight="false" outlineLevel="0" collapsed="false">
      <c r="A47" s="2"/>
      <c r="B47" s="2"/>
      <c r="C47" s="2"/>
      <c r="D47" s="2"/>
    </row>
    <row r="48" customFormat="false" ht="15" hidden="false" customHeight="false" outlineLevel="0" collapsed="false">
      <c r="A48" s="2"/>
      <c r="B48" s="2"/>
      <c r="C48" s="2"/>
      <c r="D48" s="2"/>
    </row>
    <row r="49" customFormat="false" ht="15" hidden="false" customHeight="false" outlineLevel="0" collapsed="false">
      <c r="A49" s="2"/>
      <c r="B49" s="2"/>
      <c r="C49" s="2"/>
      <c r="D49" s="2"/>
    </row>
    <row r="50" customFormat="false" ht="15" hidden="false" customHeight="false" outlineLevel="0" collapsed="false">
      <c r="A50" s="2"/>
      <c r="B50" s="2"/>
      <c r="C50" s="2"/>
      <c r="D50" s="2"/>
    </row>
    <row r="51" customFormat="false" ht="15" hidden="false" customHeight="false" outlineLevel="0" collapsed="false">
      <c r="A51" s="2"/>
      <c r="B51" s="2"/>
      <c r="C51" s="2"/>
      <c r="D51" s="2"/>
    </row>
    <row r="52" customFormat="false" ht="15" hidden="false" customHeight="false" outlineLevel="0" collapsed="false">
      <c r="A52" s="2"/>
      <c r="B52" s="2"/>
      <c r="C52" s="2"/>
      <c r="D52" s="2"/>
    </row>
    <row r="53" customFormat="false" ht="15" hidden="false" customHeight="false" outlineLevel="0" collapsed="false">
      <c r="A53" s="2"/>
      <c r="B53" s="2"/>
      <c r="C53" s="2"/>
      <c r="D53" s="2"/>
    </row>
    <row r="54" customFormat="false" ht="15" hidden="false" customHeight="false" outlineLevel="0" collapsed="false">
      <c r="A54" s="2"/>
      <c r="B54" s="2"/>
      <c r="C54" s="2"/>
      <c r="D54" s="2"/>
    </row>
    <row r="55" customFormat="false" ht="15" hidden="false" customHeight="false" outlineLevel="0" collapsed="false">
      <c r="A55" s="2"/>
      <c r="B55" s="2"/>
      <c r="C55" s="2"/>
      <c r="D55" s="2"/>
    </row>
    <row r="56" customFormat="false" ht="15" hidden="false" customHeight="false" outlineLevel="0" collapsed="false">
      <c r="A56" s="2"/>
      <c r="B56" s="2"/>
      <c r="C56" s="2"/>
      <c r="D56" s="2"/>
    </row>
    <row r="1048575" customFormat="false" ht="11.25" hidden="false" customHeight="false" outlineLevel="0" collapsed="false"/>
    <row r="1048576" customFormat="false" ht="11.25" hidden="false" customHeight="false" outlineLevel="0" collapsed="false"/>
  </sheetData>
  <autoFilter ref="A3:Q3"/>
  <mergeCells count="2">
    <mergeCell ref="A1:P1"/>
    <mergeCell ref="A2:P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1" activeCellId="0" sqref="A1"/>
    </sheetView>
  </sheetViews>
  <sheetFormatPr defaultColWidth="15.859375" defaultRowHeight="15" zeroHeight="false" outlineLevelRow="0" outlineLevelCol="0"/>
  <cols>
    <col collapsed="false" customWidth="true" hidden="false" outlineLevel="0" max="3" min="3" style="0" width="22.15"/>
  </cols>
  <sheetData>
    <row r="1" customFormat="false" ht="15" hidden="false" customHeight="false" outlineLevel="0" collapsed="false">
      <c r="A1" s="25" t="n">
        <v>46034</v>
      </c>
      <c r="B1" s="26" t="n">
        <v>53000</v>
      </c>
      <c r="C1" s="26" t="s">
        <v>45</v>
      </c>
    </row>
    <row r="2" customFormat="false" ht="15" hidden="false" customHeight="false" outlineLevel="0" collapsed="false">
      <c r="A2" s="25" t="n">
        <v>46050</v>
      </c>
      <c r="B2" s="26" t="n">
        <v>33000</v>
      </c>
      <c r="C2" s="26" t="s">
        <v>45</v>
      </c>
    </row>
    <row r="3" customFormat="false" ht="15" hidden="false" customHeight="false" outlineLevel="0" collapsed="false">
      <c r="A3" s="25" t="n">
        <v>46050</v>
      </c>
      <c r="B3" s="26" t="n">
        <v>20000</v>
      </c>
      <c r="C3" s="26" t="s">
        <v>37</v>
      </c>
    </row>
    <row r="4" customFormat="false" ht="15" hidden="false" customHeight="false" outlineLevel="0" collapsed="false">
      <c r="A4" s="25" t="n">
        <v>46044</v>
      </c>
      <c r="B4" s="26" t="n">
        <v>27000</v>
      </c>
      <c r="C4" s="26" t="s">
        <v>37</v>
      </c>
    </row>
    <row r="5" customFormat="false" ht="15" hidden="false" customHeight="false" outlineLevel="0" collapsed="false">
      <c r="A5" s="25" t="n">
        <v>46055</v>
      </c>
      <c r="B5" s="26" t="n">
        <v>5000</v>
      </c>
      <c r="C5" s="26" t="s">
        <v>45</v>
      </c>
    </row>
    <row r="6" customFormat="false" ht="15" hidden="false" customHeight="false" outlineLevel="0" collapsed="false">
      <c r="A6" s="27" t="n">
        <v>46059</v>
      </c>
      <c r="B6" s="26" t="n">
        <v>27000</v>
      </c>
      <c r="C6" s="26" t="s">
        <v>46</v>
      </c>
    </row>
    <row r="7" customFormat="false" ht="15" hidden="false" customHeight="false" outlineLevel="0" collapsed="false">
      <c r="A7" s="27" t="n">
        <v>46052</v>
      </c>
      <c r="B7" s="26" t="n">
        <v>8000</v>
      </c>
      <c r="C7" s="26" t="s">
        <v>46</v>
      </c>
    </row>
    <row r="8" customFormat="false" ht="15" hidden="false" customHeight="false" outlineLevel="0" collapsed="false">
      <c r="A8" s="27" t="n">
        <v>46055</v>
      </c>
      <c r="B8" s="26" t="n">
        <v>45000</v>
      </c>
      <c r="C8" s="26" t="s">
        <v>45</v>
      </c>
    </row>
    <row r="9" customFormat="false" ht="15" hidden="false" customHeight="false" outlineLevel="0" collapsed="false">
      <c r="A9" s="27" t="n">
        <v>46055</v>
      </c>
      <c r="B9" s="26" t="n">
        <v>3000</v>
      </c>
      <c r="C9" s="26" t="s">
        <v>45</v>
      </c>
    </row>
    <row r="10" customFormat="false" ht="15" hidden="false" customHeight="false" outlineLevel="0" collapsed="false">
      <c r="A10" s="27" t="n">
        <v>46062</v>
      </c>
      <c r="B10" s="26" t="n">
        <v>15000</v>
      </c>
      <c r="C10" s="26" t="s">
        <v>45</v>
      </c>
    </row>
    <row r="11" customFormat="false" ht="15" hidden="false" customHeight="false" outlineLevel="0" collapsed="false">
      <c r="A11" s="27" t="n">
        <v>46064</v>
      </c>
      <c r="B11" s="26" t="n">
        <v>4000</v>
      </c>
      <c r="C11" s="26" t="s">
        <v>45</v>
      </c>
    </row>
    <row r="12" customFormat="false" ht="15" hidden="false" customHeight="false" outlineLevel="0" collapsed="false">
      <c r="A12" s="27" t="n">
        <v>46065</v>
      </c>
      <c r="B12" s="26" t="n">
        <v>-55000</v>
      </c>
      <c r="C12" s="26" t="s">
        <v>47</v>
      </c>
    </row>
    <row r="13" customFormat="false" ht="15" hidden="false" customHeight="false" outlineLevel="0" collapsed="false">
      <c r="A13" s="27" t="n">
        <v>46072</v>
      </c>
      <c r="B13" s="17" t="n">
        <v>8000</v>
      </c>
      <c r="C13" s="28"/>
    </row>
    <row r="14" customFormat="false" ht="15" hidden="false" customHeight="false" outlineLevel="0" collapsed="false">
      <c r="A14" s="27" t="n">
        <v>46079</v>
      </c>
      <c r="B14" s="17" t="n">
        <v>40000</v>
      </c>
      <c r="C14" s="28"/>
    </row>
    <row r="15" customFormat="false" ht="15" hidden="false" customHeight="false" outlineLevel="0" collapsed="false">
      <c r="A15" s="27" t="n">
        <v>46090</v>
      </c>
      <c r="B15" s="26" t="n">
        <v>66545</v>
      </c>
      <c r="C15" s="28"/>
    </row>
    <row r="16" customFormat="false" ht="15" hidden="false" customHeight="false" outlineLevel="0" collapsed="false">
      <c r="A16" s="27" t="n">
        <v>46109</v>
      </c>
      <c r="B16" s="26" t="n">
        <v>11000</v>
      </c>
      <c r="C16" s="28" t="s">
        <v>48</v>
      </c>
    </row>
    <row r="17" customFormat="false" ht="15" hidden="false" customHeight="false" outlineLevel="0" collapsed="false">
      <c r="A17" s="27" t="n">
        <v>46108</v>
      </c>
      <c r="B17" s="26" t="n">
        <v>14000</v>
      </c>
      <c r="C17" s="28" t="s">
        <v>45</v>
      </c>
    </row>
    <row r="18" customFormat="false" ht="15" hidden="false" customHeight="false" outlineLevel="0" collapsed="false">
      <c r="A18" s="27" t="n">
        <v>46112</v>
      </c>
      <c r="B18" s="28" t="n">
        <v>46000</v>
      </c>
      <c r="C18" s="28" t="s">
        <v>45</v>
      </c>
    </row>
    <row r="19" customFormat="false" ht="15" hidden="false" customHeight="false" outlineLevel="0" collapsed="false">
      <c r="A19" s="27" t="n">
        <v>46107</v>
      </c>
      <c r="B19" s="28" t="n">
        <v>32000</v>
      </c>
      <c r="C19" s="28"/>
    </row>
    <row r="20" customFormat="false" ht="15" hidden="false" customHeight="false" outlineLevel="0" collapsed="false">
      <c r="A20" s="27" t="n">
        <v>46111</v>
      </c>
      <c r="B20" s="28" t="n">
        <v>15000</v>
      </c>
      <c r="C20" s="28"/>
    </row>
    <row r="21" customFormat="false" ht="15" hidden="false" customHeight="false" outlineLevel="0" collapsed="false">
      <c r="A21" s="27" t="n">
        <v>46154</v>
      </c>
      <c r="B21" s="28" t="n">
        <v>104073</v>
      </c>
      <c r="C21" s="28" t="s">
        <v>49</v>
      </c>
    </row>
    <row r="22" customFormat="false" ht="15" hidden="false" customHeight="false" outlineLevel="0" collapsed="false">
      <c r="A22" s="29"/>
      <c r="B22" s="29" t="n">
        <v>-58000</v>
      </c>
      <c r="C22" s="29" t="s">
        <v>50</v>
      </c>
    </row>
    <row r="23" customFormat="false" ht="15" hidden="false" customHeight="false" outlineLevel="0" collapsed="false">
      <c r="A23" s="28"/>
      <c r="B23" s="28" t="n">
        <v>-55000</v>
      </c>
      <c r="C23" s="28" t="s">
        <v>51</v>
      </c>
    </row>
    <row r="24" customFormat="false" ht="15" hidden="false" customHeight="false" outlineLevel="0" collapsed="false">
      <c r="A24" s="28"/>
      <c r="B24" s="28" t="n">
        <v>-55000</v>
      </c>
      <c r="C24" s="28" t="s">
        <v>52</v>
      </c>
    </row>
    <row r="25" customFormat="false" ht="15" hidden="false" customHeight="false" outlineLevel="0" collapsed="false">
      <c r="A25" s="28"/>
      <c r="B25" s="28" t="n">
        <v>-40000</v>
      </c>
      <c r="C25" s="28" t="s">
        <v>53</v>
      </c>
    </row>
    <row r="26" customFormat="false" ht="15" hidden="false" customHeight="false" outlineLevel="0" collapsed="false">
      <c r="A26" s="28"/>
      <c r="B26" s="28" t="n">
        <v>-40000</v>
      </c>
      <c r="C26" s="28" t="s">
        <v>54</v>
      </c>
    </row>
    <row r="27" customFormat="false" ht="15" hidden="false" customHeight="false" outlineLevel="0" collapsed="false">
      <c r="A27" s="28"/>
      <c r="B27" s="28" t="n">
        <v>-100000</v>
      </c>
      <c r="C27" s="28" t="s">
        <v>55</v>
      </c>
    </row>
    <row r="28" customFormat="false" ht="15" hidden="false" customHeight="false" outlineLevel="0" collapsed="false">
      <c r="A28" s="28"/>
      <c r="B28" s="28" t="n">
        <v>-45000</v>
      </c>
      <c r="C28" s="28" t="s">
        <v>56</v>
      </c>
    </row>
    <row r="29" customFormat="false" ht="15" hidden="false" customHeight="false" outlineLevel="0" collapsed="false">
      <c r="A29" s="28"/>
      <c r="B29" s="28" t="n">
        <v>-60437</v>
      </c>
      <c r="C29" s="28" t="s">
        <v>57</v>
      </c>
    </row>
    <row r="30" customFormat="false" ht="15" hidden="false" customHeight="false" outlineLevel="0" collapsed="false">
      <c r="A30" s="27" t="n">
        <v>46176</v>
      </c>
      <c r="B30" s="28" t="n">
        <v>-15000</v>
      </c>
      <c r="C30" s="28" t="s">
        <v>45</v>
      </c>
    </row>
    <row r="31" customFormat="false" ht="15" hidden="false" customHeight="false" outlineLevel="0" collapsed="false">
      <c r="A31" s="27" t="n">
        <v>46178</v>
      </c>
      <c r="B31" s="28" t="n">
        <v>-20000</v>
      </c>
      <c r="C31" s="28" t="s">
        <v>58</v>
      </c>
    </row>
    <row r="32" customFormat="false" ht="15" hidden="false" customHeight="false" outlineLevel="0" collapsed="false">
      <c r="B32" s="0" t="n">
        <f aca="false">SUM(B1:B31)</f>
        <v>33181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2025-02-06T17:14:47Z</dcterms:created>
  <dc:creator>Usuario</dc:creator>
  <dc:description/>
  <dc:language>en-US</dc:language>
  <cp:lastModifiedBy>Usuario</cp:lastModifiedBy>
  <cp:lastPrinted>2026-06-17T17:35:56Z</cp:lastPrinted>
  <dcterms:modified xsi:type="dcterms:W3CDTF">2026-06-17T17:36:29Z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